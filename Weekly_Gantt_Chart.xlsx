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a917c88f9ad4f55/Desktop/Final_year/Project/"/>
    </mc:Choice>
  </mc:AlternateContent>
  <xr:revisionPtr revIDLastSave="0" documentId="8_{831425D2-EC04-4DAC-94DD-918B1529C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 1" sheetId="1" r:id="rId1"/>
    <sheet name="Option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G35" i="1"/>
  <c r="F35" i="1"/>
  <c r="B4" i="2"/>
  <c r="E4" i="1"/>
  <c r="I5" i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</calcChain>
</file>

<file path=xl/sharedStrings.xml><?xml version="1.0" encoding="utf-8"?>
<sst xmlns="http://schemas.openxmlformats.org/spreadsheetml/2006/main" count="106" uniqueCount="91">
  <si>
    <t>PROJECT:</t>
  </si>
  <si>
    <t>WEEKLY-TRACKED PROJECT</t>
  </si>
  <si>
    <t>Project Manager:</t>
  </si>
  <si>
    <t>Your Name</t>
  </si>
  <si>
    <t>Today is</t>
  </si>
  <si>
    <t>Task name</t>
  </si>
  <si>
    <t>Stard date</t>
  </si>
  <si>
    <t>End date</t>
  </si>
  <si>
    <t>Planned Hours</t>
  </si>
  <si>
    <t>Actual Hours</t>
  </si>
  <si>
    <t>Progress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</si>
  <si>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</si>
  <si>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</si>
  <si>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</si>
  <si>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</si>
  <si>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</si>
  <si>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</si>
  <si>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</si>
  <si>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</si>
  <si>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</si>
  <si>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</si>
  <si>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</si>
  <si>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</si>
  <si>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</si>
  <si>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</si>
  <si>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</si>
  <si>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</si>
  <si>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</si>
  <si>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</si>
  <si>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</si>
  <si>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</si>
  <si>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</si>
  <si>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</si>
  <si>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</si>
  <si>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</si>
  <si>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</si>
  <si>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</si>
  <si>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</si>
  <si>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Choose a Project</t>
  </si>
  <si>
    <t>Task 1</t>
  </si>
  <si>
    <t>Task 2</t>
  </si>
  <si>
    <t>Task 3</t>
  </si>
  <si>
    <t>Subtask 3.1</t>
  </si>
  <si>
    <t>Interim Report</t>
  </si>
  <si>
    <t>Winter Exam Prep</t>
  </si>
  <si>
    <t>Xmas</t>
  </si>
  <si>
    <t>Winter Exam</t>
  </si>
  <si>
    <t>40 hours Possible here</t>
  </si>
  <si>
    <t>Proof-read thesis. Create Video</t>
  </si>
  <si>
    <t>Study Week</t>
  </si>
  <si>
    <t>Total Hours</t>
  </si>
  <si>
    <t>Last revision:</t>
  </si>
  <si>
    <t>Time:</t>
  </si>
  <si>
    <t>hrs</t>
  </si>
  <si>
    <t>Date</t>
  </si>
  <si>
    <t>Task</t>
  </si>
  <si>
    <t>Week 1</t>
  </si>
  <si>
    <t>Week 2</t>
  </si>
  <si>
    <t>Week 3</t>
  </si>
  <si>
    <t>Week 4</t>
  </si>
  <si>
    <t>Week 5</t>
  </si>
  <si>
    <t>Study</t>
  </si>
  <si>
    <t>Week 6</t>
  </si>
  <si>
    <t>Week 7</t>
  </si>
  <si>
    <t>Week 8</t>
  </si>
  <si>
    <t>Week 9</t>
  </si>
  <si>
    <t>Week 10</t>
  </si>
  <si>
    <t>Week 11</t>
  </si>
  <si>
    <t>Week 12</t>
  </si>
  <si>
    <t>Holiday</t>
  </si>
  <si>
    <t>Exams</t>
  </si>
  <si>
    <t>Break</t>
  </si>
  <si>
    <t>Submit interim report</t>
  </si>
  <si>
    <t>Proof-read thesis</t>
  </si>
  <si>
    <t>Create video</t>
  </si>
  <si>
    <t>Submit project</t>
  </si>
  <si>
    <t>Suggested tasks</t>
  </si>
  <si>
    <t>Literature review</t>
  </si>
  <si>
    <t>Background research</t>
  </si>
  <si>
    <t>Create report template</t>
  </si>
  <si>
    <t>Write introduction</t>
  </si>
  <si>
    <t>Write interim report</t>
  </si>
  <si>
    <t>User testing</t>
  </si>
  <si>
    <t>Unit testing</t>
  </si>
  <si>
    <t>Refactoring code</t>
  </si>
  <si>
    <t>Generate test data</t>
  </si>
  <si>
    <t>Review/analyse data</t>
  </si>
  <si>
    <t>Study Week - 32 hours?</t>
  </si>
  <si>
    <t>Coding</t>
  </si>
  <si>
    <t>Other assignments ()</t>
  </si>
  <si>
    <t>General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</si>
</sst>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/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93C47D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3F3F3"/>
      </patternFill>
    </fill>
  </fills>
  <borders count="4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theme="0" tint="-0.34998626667073579"/>
      </right>
      <top/>
      <bottom style="thin">
        <color rgb="FF99999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rgb="FF99999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rgb="FF999999"/>
      </left>
      <right style="thin">
        <color rgb="FF99999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rgb="FF99999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4" fillId="3" borderId="0" xfId="0" applyFont="1" applyFill="1"/>
    <xf numFmtId="0" fontId="6" fillId="3" borderId="0" xfId="0" applyFont="1" applyFill="1" applyAlignment="1">
      <alignment vertical="center"/>
    </xf>
    <xf numFmtId="0" fontId="4" fillId="0" borderId="0" xfId="0" applyFont="1"/>
    <xf numFmtId="0" fontId="5" fillId="3" borderId="0" xfId="0" applyFont="1" applyFill="1"/>
    <xf numFmtId="14" fontId="5" fillId="3" borderId="0" xfId="0" applyNumberFormat="1" applyFont="1" applyFill="1"/>
    <xf numFmtId="14" fontId="4" fillId="0" borderId="0" xfId="0" applyNumberFormat="1" applyFont="1" applyAlignment="1">
      <alignment horizontal="center" vertical="center" textRotation="90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4" fontId="7" fillId="2" borderId="16" xfId="0" applyNumberFormat="1" applyFont="1" applyFill="1" applyBorder="1" applyAlignment="1">
      <alignment horizontal="center" vertical="center" textRotation="90"/>
    </xf>
    <xf numFmtId="164" fontId="7" fillId="2" borderId="17" xfId="0" applyNumberFormat="1" applyFont="1" applyFill="1" applyBorder="1" applyAlignment="1">
      <alignment horizontal="center" vertical="center" textRotation="90"/>
    </xf>
    <xf numFmtId="164" fontId="7" fillId="2" borderId="18" xfId="0" applyNumberFormat="1" applyFont="1" applyFill="1" applyBorder="1" applyAlignment="1">
      <alignment horizontal="center" vertical="center" textRotation="90"/>
    </xf>
    <xf numFmtId="9" fontId="8" fillId="0" borderId="9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14" fontId="10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19" xfId="0" applyFont="1" applyBorder="1" applyAlignment="1">
      <alignment horizontal="right" vertical="center"/>
    </xf>
    <xf numFmtId="165" fontId="15" fillId="0" borderId="20" xfId="0" applyNumberFormat="1" applyFont="1" applyBorder="1" applyAlignment="1">
      <alignment horizontal="center" vertical="center" textRotation="50"/>
    </xf>
    <xf numFmtId="165" fontId="15" fillId="0" borderId="21" xfId="0" applyNumberFormat="1" applyFont="1" applyBorder="1" applyAlignment="1">
      <alignment horizontal="center" vertical="center" textRotation="50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12" fillId="0" borderId="0" xfId="0" applyFont="1"/>
    <xf numFmtId="0" fontId="0" fillId="0" borderId="32" xfId="0" applyBorder="1"/>
    <xf numFmtId="0" fontId="0" fillId="0" borderId="28" xfId="0" applyBorder="1"/>
    <xf numFmtId="0" fontId="12" fillId="0" borderId="24" xfId="0" applyFont="1" applyBorder="1"/>
    <xf numFmtId="0" fontId="0" fillId="0" borderId="31" xfId="0" applyBorder="1"/>
    <xf numFmtId="0" fontId="9" fillId="2" borderId="7" xfId="0" applyFont="1" applyFill="1" applyBorder="1" applyAlignment="1">
      <alignment vertical="center"/>
    </xf>
    <xf numFmtId="14" fontId="10" fillId="0" borderId="8" xfId="0" applyNumberFormat="1" applyFont="1" applyBorder="1" applyAlignment="1">
      <alignment horizontal="center" vertical="center"/>
    </xf>
    <xf numFmtId="0" fontId="4" fillId="5" borderId="0" xfId="0" applyFont="1" applyFill="1"/>
    <xf numFmtId="0" fontId="9" fillId="6" borderId="3" xfId="0" applyFont="1" applyFill="1" applyBorder="1" applyAlignment="1">
      <alignment vertical="center"/>
    </xf>
    <xf numFmtId="14" fontId="10" fillId="5" borderId="8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 wrapText="1"/>
    </xf>
    <xf numFmtId="1" fontId="10" fillId="0" borderId="9" xfId="1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5" xfId="1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4" fillId="0" borderId="0" xfId="0" applyNumberFormat="1" applyFont="1"/>
    <xf numFmtId="1" fontId="10" fillId="5" borderId="8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right" vertical="center"/>
    </xf>
  </cellXfs>
  <cellStyles count="4">
    <cellStyle name="Hyperlink 2" xfId="3" xr:uid="{00000000-0005-0000-0000-000000000000}"/>
    <cellStyle name="Normal" xfId="0" builtinId="0"/>
    <cellStyle name="Normal 3" xfId="2" xr:uid="{00000000-0005-0000-0000-000002000000}"/>
    <cellStyle name="Percent" xfId="1" builtinId="5"/>
  </cellStyles>
  <dxfs count="0"/>
  <tableStyles count="0" defaultTableStyle="TableStyleMedium2" defaultPivotStyle="PivotStyleLight16"/>
  <colors>
    <mruColors>
      <color rgb="FF93C4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tabSelected="1" topLeftCell="A2" zoomScaleNormal="100" workbookViewId="0">
      <selection activeCell="F20" sqref="F20"/>
    </sheetView>
  </sheetViews>
  <sheetFormatPr defaultColWidth="8.81640625" defaultRowHeight="14" x14ac:dyDescent="0.3"/>
  <cols>
    <col min="1" max="2" width="2.453125" style="3" customWidth="1"/>
    <col min="3" max="3" width="47.7265625" style="3" customWidth="1"/>
    <col min="4" max="4" width="11.1796875" style="3" customWidth="1"/>
    <col min="5" max="5" width="12.453125" style="3" customWidth="1"/>
    <col min="6" max="6" width="8.54296875" style="3" customWidth="1"/>
    <col min="7" max="7" width="8.1796875" style="3" customWidth="1"/>
    <col min="8" max="8" width="8.453125" style="3" customWidth="1"/>
    <col min="9" max="24" width="4.81640625" style="3" customWidth="1"/>
    <col min="25" max="25" width="4.54296875" style="3" customWidth="1"/>
    <col min="26" max="26" width="3.453125" style="3" customWidth="1"/>
    <col min="27" max="27" width="4.453125" style="3" customWidth="1"/>
    <col min="28" max="29" width="3.81640625" style="3" customWidth="1"/>
    <col min="30" max="35" width="4.1796875" style="3" customWidth="1"/>
    <col min="36" max="16384" width="8.81640625" style="3"/>
  </cols>
  <sheetData>
    <row r="1" spans="1:35" ht="20.149999999999999" customHeight="1" x14ac:dyDescent="0.3">
      <c r="A1" s="1"/>
      <c r="B1" s="1"/>
      <c r="C1" s="1"/>
      <c r="D1" s="73" t="s">
        <v>0</v>
      </c>
      <c r="E1" s="73"/>
      <c r="F1" s="2" t="s">
        <v>1</v>
      </c>
      <c r="G1" s="51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5" ht="20.149999999999999" customHeight="1" x14ac:dyDescent="0.3">
      <c r="A2" s="1"/>
      <c r="B2" s="1"/>
      <c r="C2" s="1"/>
      <c r="D2" s="73" t="s">
        <v>2</v>
      </c>
      <c r="E2" s="73"/>
      <c r="F2" s="2" t="s">
        <v>3</v>
      </c>
      <c r="G2" s="51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5" ht="14.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5" ht="14.15" customHeight="1" thickBot="1" x14ac:dyDescent="0.35">
      <c r="A4" s="1"/>
      <c r="B4" s="1"/>
      <c r="C4" s="1"/>
      <c r="D4" s="4" t="s">
        <v>4</v>
      </c>
      <c r="E4" s="5">
        <f ca="1">TODAY()</f>
        <v>45943</v>
      </c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5" ht="57.65" hidden="1" customHeight="1" x14ac:dyDescent="0.3">
      <c r="I5" s="6">
        <f>D7</f>
        <v>45194</v>
      </c>
      <c r="J5" s="6">
        <f>I5+7</f>
        <v>45201</v>
      </c>
      <c r="K5" s="6">
        <f t="shared" ref="K5:X5" si="0">J5+7</f>
        <v>45208</v>
      </c>
      <c r="L5" s="6">
        <f t="shared" si="0"/>
        <v>45215</v>
      </c>
      <c r="M5" s="6">
        <f t="shared" si="0"/>
        <v>45222</v>
      </c>
      <c r="N5" s="6">
        <f t="shared" si="0"/>
        <v>45229</v>
      </c>
      <c r="O5" s="6">
        <f t="shared" si="0"/>
        <v>45236</v>
      </c>
      <c r="P5" s="6">
        <f t="shared" si="0"/>
        <v>45243</v>
      </c>
      <c r="Q5" s="6">
        <f t="shared" si="0"/>
        <v>45250</v>
      </c>
      <c r="R5" s="6">
        <f t="shared" si="0"/>
        <v>45257</v>
      </c>
      <c r="S5" s="6">
        <f t="shared" si="0"/>
        <v>45264</v>
      </c>
      <c r="T5" s="6">
        <f t="shared" si="0"/>
        <v>45271</v>
      </c>
      <c r="U5" s="6">
        <f t="shared" si="0"/>
        <v>45278</v>
      </c>
      <c r="V5" s="6">
        <f t="shared" si="0"/>
        <v>45285</v>
      </c>
      <c r="W5" s="6">
        <f t="shared" si="0"/>
        <v>45292</v>
      </c>
      <c r="X5" s="6">
        <f t="shared" si="0"/>
        <v>45299</v>
      </c>
      <c r="Y5" s="1"/>
      <c r="Z5" s="1"/>
    </row>
    <row r="6" spans="1:35" ht="48" thickBot="1" x14ac:dyDescent="0.35">
      <c r="A6" s="1"/>
      <c r="B6" s="1"/>
      <c r="C6" s="7" t="s">
        <v>5</v>
      </c>
      <c r="D6" s="8" t="s">
        <v>6</v>
      </c>
      <c r="E6" s="8" t="s">
        <v>7</v>
      </c>
      <c r="F6" s="9" t="s">
        <v>8</v>
      </c>
      <c r="G6" s="65" t="s">
        <v>9</v>
      </c>
      <c r="H6" s="9" t="s">
        <v>10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2" t="s">
        <v>26</v>
      </c>
      <c r="Y6" s="11" t="s">
        <v>27</v>
      </c>
      <c r="Z6" s="11" t="s">
        <v>28</v>
      </c>
      <c r="AA6" s="12" t="s">
        <v>29</v>
      </c>
      <c r="AB6" s="11" t="s">
        <v>30</v>
      </c>
      <c r="AC6" s="11" t="s">
        <v>31</v>
      </c>
      <c r="AD6" s="12" t="s">
        <v>32</v>
      </c>
      <c r="AE6" s="11" t="s">
        <v>33</v>
      </c>
      <c r="AF6" s="11" t="s">
        <v>34</v>
      </c>
      <c r="AG6" s="12" t="s">
        <v>35</v>
      </c>
      <c r="AH6" s="11" t="s">
        <v>36</v>
      </c>
      <c r="AI6" s="11" t="s">
        <v>37</v>
      </c>
    </row>
    <row r="7" spans="1:35" x14ac:dyDescent="0.3">
      <c r="A7" s="1"/>
      <c r="B7" s="1"/>
      <c r="C7" s="57" t="s">
        <v>38</v>
      </c>
      <c r="D7" s="58">
        <v>45194</v>
      </c>
      <c r="E7" s="58">
        <v>45199</v>
      </c>
      <c r="F7" s="66">
        <v>4</v>
      </c>
      <c r="G7" s="67">
        <v>4</v>
      </c>
      <c r="H7" s="13">
        <f>IF(F7&gt;0,G7/F7,0)</f>
        <v>1</v>
      </c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  <c r="Y7" s="15"/>
      <c r="Z7" s="15"/>
      <c r="AA7" s="16"/>
      <c r="AB7" s="15"/>
      <c r="AC7" s="15"/>
      <c r="AD7" s="16"/>
      <c r="AE7" s="15"/>
      <c r="AF7" s="15"/>
      <c r="AG7" s="16"/>
      <c r="AH7" s="15"/>
      <c r="AI7" s="15"/>
    </row>
    <row r="8" spans="1:35" x14ac:dyDescent="0.3">
      <c r="A8" s="1"/>
      <c r="B8" s="1"/>
      <c r="C8" s="17" t="s">
        <v>39</v>
      </c>
      <c r="D8" s="18">
        <v>45201</v>
      </c>
      <c r="E8" s="18">
        <v>45206</v>
      </c>
      <c r="F8" s="68">
        <v>8</v>
      </c>
      <c r="G8" s="69">
        <v>7</v>
      </c>
      <c r="H8" s="13">
        <f t="shared" ref="H8:H33" si="1">IF(F8&gt;0,G8/F8,0)</f>
        <v>0.875</v>
      </c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</row>
    <row r="9" spans="1:35" x14ac:dyDescent="0.3">
      <c r="A9" s="1"/>
      <c r="B9" s="1"/>
      <c r="C9" s="17" t="s">
        <v>40</v>
      </c>
      <c r="D9" s="58">
        <v>45208</v>
      </c>
      <c r="E9" s="58">
        <v>45213</v>
      </c>
      <c r="F9" s="68">
        <v>8</v>
      </c>
      <c r="G9" s="67">
        <v>9</v>
      </c>
      <c r="H9" s="13">
        <f t="shared" si="1"/>
        <v>1.125</v>
      </c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1:35" x14ac:dyDescent="0.3">
      <c r="A10" s="1"/>
      <c r="B10" s="1"/>
      <c r="C10" s="17" t="s">
        <v>41</v>
      </c>
      <c r="D10" s="18">
        <v>45215</v>
      </c>
      <c r="E10" s="18">
        <v>45220</v>
      </c>
      <c r="F10" s="68">
        <v>10</v>
      </c>
      <c r="G10" s="69">
        <v>7</v>
      </c>
      <c r="H10" s="13">
        <f t="shared" si="1"/>
        <v>0.7</v>
      </c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spans="1:35" x14ac:dyDescent="0.3">
      <c r="A11" s="1"/>
      <c r="B11" s="1"/>
      <c r="C11" s="21" t="s">
        <v>42</v>
      </c>
      <c r="D11" s="58">
        <v>45222</v>
      </c>
      <c r="E11" s="58">
        <v>45227</v>
      </c>
      <c r="F11" s="68">
        <v>10</v>
      </c>
      <c r="G11" s="67">
        <v>9</v>
      </c>
      <c r="H11" s="13">
        <f t="shared" si="1"/>
        <v>0.9</v>
      </c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1:35" x14ac:dyDescent="0.3">
      <c r="A12" s="1"/>
      <c r="B12" s="1"/>
      <c r="C12" s="21" t="s">
        <v>87</v>
      </c>
      <c r="D12" s="18">
        <v>45229</v>
      </c>
      <c r="E12" s="18">
        <v>45234</v>
      </c>
      <c r="F12" s="68">
        <v>30</v>
      </c>
      <c r="G12" s="69"/>
      <c r="H12" s="13">
        <f t="shared" si="1"/>
        <v>0</v>
      </c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3">
      <c r="A13" s="1"/>
      <c r="B13" s="1"/>
      <c r="C13" s="17"/>
      <c r="D13" s="58">
        <v>45236</v>
      </c>
      <c r="E13" s="58">
        <v>45241</v>
      </c>
      <c r="F13" s="68">
        <v>10</v>
      </c>
      <c r="G13" s="67"/>
      <c r="H13" s="13">
        <f t="shared" si="1"/>
        <v>0</v>
      </c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</row>
    <row r="14" spans="1:35" x14ac:dyDescent="0.3">
      <c r="A14" s="1"/>
      <c r="B14" s="1"/>
      <c r="C14" s="17"/>
      <c r="D14" s="18">
        <v>45243</v>
      </c>
      <c r="E14" s="18">
        <v>45248</v>
      </c>
      <c r="F14" s="68">
        <v>10</v>
      </c>
      <c r="G14" s="69"/>
      <c r="H14" s="13">
        <f t="shared" si="1"/>
        <v>0</v>
      </c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</row>
    <row r="15" spans="1:35" x14ac:dyDescent="0.3">
      <c r="A15" s="1"/>
      <c r="B15" s="1"/>
      <c r="C15" s="17"/>
      <c r="D15" s="58">
        <v>45250</v>
      </c>
      <c r="E15" s="58">
        <v>45255</v>
      </c>
      <c r="F15" s="68">
        <v>10</v>
      </c>
      <c r="G15" s="67"/>
      <c r="H15" s="13">
        <f t="shared" si="1"/>
        <v>0</v>
      </c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  <row r="16" spans="1:35" x14ac:dyDescent="0.3">
      <c r="A16" s="1"/>
      <c r="B16" s="1"/>
      <c r="C16" s="21" t="s">
        <v>43</v>
      </c>
      <c r="D16" s="18">
        <v>45257</v>
      </c>
      <c r="E16" s="18">
        <v>45262</v>
      </c>
      <c r="F16" s="68">
        <v>10</v>
      </c>
      <c r="G16" s="69"/>
      <c r="H16" s="13">
        <f t="shared" si="1"/>
        <v>0</v>
      </c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 spans="1:35" x14ac:dyDescent="0.3">
      <c r="A17" s="1"/>
      <c r="B17" s="1"/>
      <c r="C17" s="21"/>
      <c r="D17" s="58">
        <v>45264</v>
      </c>
      <c r="E17" s="58">
        <v>45269</v>
      </c>
      <c r="F17" s="68">
        <v>10</v>
      </c>
      <c r="G17" s="67"/>
      <c r="H17" s="13">
        <f t="shared" si="1"/>
        <v>0</v>
      </c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</row>
    <row r="18" spans="1:35" x14ac:dyDescent="0.3">
      <c r="A18" s="1"/>
      <c r="B18" s="1"/>
      <c r="C18" s="17"/>
      <c r="D18" s="18">
        <v>45271</v>
      </c>
      <c r="E18" s="18">
        <v>45276</v>
      </c>
      <c r="F18" s="68">
        <v>10</v>
      </c>
      <c r="G18" s="69"/>
      <c r="H18" s="13">
        <f t="shared" si="1"/>
        <v>0</v>
      </c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 spans="1:35" s="59" customFormat="1" x14ac:dyDescent="0.3">
      <c r="C19" s="60" t="s">
        <v>44</v>
      </c>
      <c r="D19" s="61">
        <v>45278</v>
      </c>
      <c r="E19" s="61">
        <v>45283</v>
      </c>
      <c r="F19" s="68">
        <v>3</v>
      </c>
      <c r="G19" s="71">
        <v>2</v>
      </c>
      <c r="H19" s="13">
        <f t="shared" si="1"/>
        <v>0.66666666666666663</v>
      </c>
      <c r="I19" s="62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</row>
    <row r="20" spans="1:35" s="59" customFormat="1" x14ac:dyDescent="0.3">
      <c r="C20" s="60" t="s">
        <v>45</v>
      </c>
      <c r="D20" s="64">
        <v>45285</v>
      </c>
      <c r="E20" s="64">
        <v>45290</v>
      </c>
      <c r="F20" s="68">
        <v>0</v>
      </c>
      <c r="G20" s="72"/>
      <c r="H20" s="13">
        <f t="shared" si="1"/>
        <v>0</v>
      </c>
      <c r="I20" s="62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</row>
    <row r="21" spans="1:35" s="59" customFormat="1" x14ac:dyDescent="0.3">
      <c r="C21" s="60" t="s">
        <v>44</v>
      </c>
      <c r="D21" s="61">
        <v>45292</v>
      </c>
      <c r="E21" s="61">
        <v>45297</v>
      </c>
      <c r="F21" s="68">
        <v>0</v>
      </c>
      <c r="G21" s="71">
        <v>0</v>
      </c>
      <c r="H21" s="13">
        <f t="shared" si="1"/>
        <v>0</v>
      </c>
      <c r="I21" s="62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</row>
    <row r="22" spans="1:35" s="59" customFormat="1" x14ac:dyDescent="0.3">
      <c r="C22" s="60" t="s">
        <v>46</v>
      </c>
      <c r="D22" s="64">
        <v>45299</v>
      </c>
      <c r="E22" s="64">
        <v>45304</v>
      </c>
      <c r="F22" s="68">
        <v>0</v>
      </c>
      <c r="G22" s="72">
        <v>0</v>
      </c>
      <c r="H22" s="13">
        <f t="shared" si="1"/>
        <v>0</v>
      </c>
      <c r="I22" s="62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s="59" customFormat="1" x14ac:dyDescent="0.3">
      <c r="C23" s="60" t="s">
        <v>46</v>
      </c>
      <c r="D23" s="61">
        <v>45306</v>
      </c>
      <c r="E23" s="61">
        <v>45311</v>
      </c>
      <c r="F23" s="68">
        <v>0</v>
      </c>
      <c r="G23" s="71">
        <v>0</v>
      </c>
      <c r="H23" s="13">
        <f t="shared" si="1"/>
        <v>0</v>
      </c>
      <c r="I23" s="62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</row>
    <row r="24" spans="1:35" x14ac:dyDescent="0.3">
      <c r="A24" s="1"/>
      <c r="B24" s="1"/>
      <c r="C24" s="21" t="s">
        <v>47</v>
      </c>
      <c r="D24" s="18">
        <v>45313</v>
      </c>
      <c r="E24" s="18">
        <v>45318</v>
      </c>
      <c r="F24" s="68">
        <v>30</v>
      </c>
      <c r="G24" s="69"/>
      <c r="H24" s="13">
        <f t="shared" si="1"/>
        <v>0</v>
      </c>
      <c r="I24" s="1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1:35" x14ac:dyDescent="0.3">
      <c r="A25" s="1"/>
      <c r="B25" s="1"/>
      <c r="C25" s="21"/>
      <c r="D25" s="58">
        <v>45320</v>
      </c>
      <c r="E25" s="58">
        <v>45325</v>
      </c>
      <c r="F25" s="68">
        <v>10</v>
      </c>
      <c r="G25" s="67"/>
      <c r="H25" s="13">
        <f t="shared" si="1"/>
        <v>0</v>
      </c>
      <c r="I25" s="1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</row>
    <row r="26" spans="1:35" x14ac:dyDescent="0.3">
      <c r="A26" s="1"/>
      <c r="B26" s="1"/>
      <c r="C26" s="21"/>
      <c r="D26" s="18">
        <v>45327</v>
      </c>
      <c r="E26" s="18">
        <v>45332</v>
      </c>
      <c r="F26" s="68">
        <v>10</v>
      </c>
      <c r="G26" s="69"/>
      <c r="H26" s="13">
        <f t="shared" si="1"/>
        <v>0</v>
      </c>
      <c r="I26" s="1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</row>
    <row r="27" spans="1:35" x14ac:dyDescent="0.3">
      <c r="A27" s="1"/>
      <c r="B27" s="1"/>
      <c r="C27" s="17"/>
      <c r="D27" s="58">
        <v>45334</v>
      </c>
      <c r="E27" s="58">
        <v>45339</v>
      </c>
      <c r="F27" s="68">
        <v>10</v>
      </c>
      <c r="G27" s="67"/>
      <c r="H27" s="13">
        <f t="shared" si="1"/>
        <v>0</v>
      </c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  <row r="28" spans="1:35" x14ac:dyDescent="0.3">
      <c r="A28" s="1"/>
      <c r="B28" s="1"/>
      <c r="C28" s="17"/>
      <c r="D28" s="18">
        <v>45341</v>
      </c>
      <c r="E28" s="18">
        <v>45346</v>
      </c>
      <c r="F28" s="68">
        <v>10</v>
      </c>
      <c r="G28" s="69"/>
      <c r="H28" s="13">
        <f t="shared" si="1"/>
        <v>0</v>
      </c>
      <c r="I28" s="1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r="29" spans="1:35" x14ac:dyDescent="0.3">
      <c r="A29" s="1"/>
      <c r="B29" s="1"/>
      <c r="C29" s="17"/>
      <c r="D29" s="58">
        <v>45348</v>
      </c>
      <c r="E29" s="58">
        <v>45353</v>
      </c>
      <c r="F29" s="68">
        <v>10</v>
      </c>
      <c r="G29" s="67"/>
      <c r="H29" s="13">
        <f t="shared" si="1"/>
        <v>0</v>
      </c>
      <c r="I29" s="1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</row>
    <row r="30" spans="1:35" x14ac:dyDescent="0.3">
      <c r="A30" s="1"/>
      <c r="B30" s="1"/>
      <c r="C30" s="21"/>
      <c r="D30" s="18">
        <v>45355</v>
      </c>
      <c r="E30" s="18">
        <v>45360</v>
      </c>
      <c r="F30" s="68">
        <v>10</v>
      </c>
      <c r="G30" s="69"/>
      <c r="H30" s="13">
        <f t="shared" si="1"/>
        <v>0</v>
      </c>
      <c r="I30" s="1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</row>
    <row r="31" spans="1:35" x14ac:dyDescent="0.3">
      <c r="A31" s="1"/>
      <c r="B31" s="1"/>
      <c r="C31" s="21"/>
      <c r="D31" s="58">
        <v>45362</v>
      </c>
      <c r="E31" s="58">
        <v>45367</v>
      </c>
      <c r="F31" s="68">
        <v>10</v>
      </c>
      <c r="G31" s="67"/>
      <c r="H31" s="13">
        <f t="shared" si="1"/>
        <v>0</v>
      </c>
      <c r="I31" s="1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</row>
    <row r="32" spans="1:35" ht="14.5" thickBot="1" x14ac:dyDescent="0.35">
      <c r="A32" s="1"/>
      <c r="B32" s="1"/>
      <c r="C32" s="22" t="s">
        <v>48</v>
      </c>
      <c r="D32" s="18">
        <v>45369</v>
      </c>
      <c r="E32" s="18">
        <v>45374</v>
      </c>
      <c r="F32" s="68">
        <v>10</v>
      </c>
      <c r="G32" s="69"/>
      <c r="H32" s="13">
        <f t="shared" si="1"/>
        <v>0</v>
      </c>
      <c r="I32" s="1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ht="14.5" thickBot="1" x14ac:dyDescent="0.35">
      <c r="A33" s="1"/>
      <c r="B33" s="1"/>
      <c r="C33" s="22" t="s">
        <v>49</v>
      </c>
      <c r="D33" s="58">
        <v>45376</v>
      </c>
      <c r="E33" s="58">
        <v>45381</v>
      </c>
      <c r="F33" s="68">
        <v>35</v>
      </c>
      <c r="G33" s="67"/>
      <c r="H33" s="13">
        <f t="shared" si="1"/>
        <v>0</v>
      </c>
      <c r="I33" s="1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</row>
    <row r="35" spans="1:35" ht="19" customHeight="1" x14ac:dyDescent="0.3">
      <c r="E35" s="3" t="s">
        <v>50</v>
      </c>
      <c r="F35" s="70">
        <f>SUM(F7:F33)</f>
        <v>278</v>
      </c>
      <c r="G35" s="70">
        <f>SUM(G7:G33)</f>
        <v>38</v>
      </c>
    </row>
  </sheetData>
  <mergeCells count="2">
    <mergeCell ref="D2:E2"/>
    <mergeCell ref="D1:E1"/>
  </mergeCells>
  <phoneticPr fontId="3" type="noConversion"/>
  <conditionalFormatting sqref="F7:F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H33">
    <cfRule type="dataBar" priority="17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{0ECD5B38-502C-4D20-9B21-02EA22539E8C}</x14:id>
        </ext>
      </extLst>
    </cfRule>
  </conditionalFormatting>
  <dataValidations count="1">
    <dataValidation type="custom" allowBlank="1" showDropDown="1" sqref="D7:E33" xr:uid="{00000000-0002-0000-0000-000000000000}">
      <formula1>OR(NOT(ISERROR(DATEVALUE(D7))), AND(ISNUMBER(D7), LEFT(CELL("format", D7))="D"))</formula1>
    </dataValidation>
  </dataValidations>
  <pageMargins left="0" right="0" top="0" bottom="0" header="0" footer="0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CD5B38-502C-4D20-9B21-02EA22539E8C}">
            <x14:dataBar minLength="0" maxLength="100" gradient="0" direction="leftToRight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H7:H33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F40C-34C2-47D2-9193-FA477B380CCE}">
  <dimension ref="A1:X30"/>
  <sheetViews>
    <sheetView workbookViewId="0">
      <selection activeCell="B30" sqref="B30"/>
    </sheetView>
  </sheetViews>
  <sheetFormatPr defaultRowHeight="14.5" x14ac:dyDescent="0.35"/>
  <cols>
    <col min="1" max="1" width="23" customWidth="1"/>
    <col min="2" max="2" width="9.1796875" customWidth="1"/>
  </cols>
  <sheetData>
    <row r="1" spans="1:24" x14ac:dyDescent="0.35">
      <c r="A1" s="25" t="s">
        <v>0</v>
      </c>
      <c r="D1" s="26"/>
      <c r="E1" s="26"/>
      <c r="F1" s="26"/>
      <c r="G1" s="26"/>
      <c r="H1" s="26"/>
      <c r="I1" s="26"/>
      <c r="J1" s="26"/>
      <c r="K1" s="26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x14ac:dyDescent="0.35">
      <c r="A2" s="25" t="s">
        <v>2</v>
      </c>
      <c r="D2" s="26"/>
      <c r="E2" s="26"/>
      <c r="F2" s="26"/>
      <c r="G2" s="26"/>
      <c r="H2" s="26"/>
      <c r="I2" s="26"/>
      <c r="J2" s="26"/>
      <c r="K2" s="26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x14ac:dyDescent="0.35">
      <c r="A3" s="23" t="s">
        <v>51</v>
      </c>
      <c r="B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x14ac:dyDescent="0.35">
      <c r="A4" s="25" t="s">
        <v>52</v>
      </c>
      <c r="B4" s="52">
        <f>SUM(B8:X15)</f>
        <v>27</v>
      </c>
      <c r="C4" s="52" t="s">
        <v>53</v>
      </c>
      <c r="D4" s="26"/>
      <c r="E4" s="26"/>
      <c r="F4" s="26"/>
      <c r="G4" s="26"/>
      <c r="H4" s="26"/>
      <c r="I4" s="26"/>
      <c r="J4" s="26"/>
      <c r="K4" s="26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5" thickBot="1" x14ac:dyDescent="0.4">
      <c r="A5" s="25"/>
      <c r="D5" s="26"/>
      <c r="E5" s="26"/>
      <c r="F5" s="26"/>
      <c r="G5" s="26"/>
      <c r="H5" s="26"/>
      <c r="I5" s="26"/>
      <c r="J5" s="26"/>
      <c r="K5" s="26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ht="50" thickTop="1" thickBot="1" x14ac:dyDescent="0.4">
      <c r="A6" s="27" t="s">
        <v>54</v>
      </c>
      <c r="B6" s="28">
        <v>45194</v>
      </c>
      <c r="C6" s="28">
        <v>45201</v>
      </c>
      <c r="D6" s="28">
        <v>45208</v>
      </c>
      <c r="E6" s="28">
        <v>45215</v>
      </c>
      <c r="F6" s="28">
        <v>45222</v>
      </c>
      <c r="G6" s="28">
        <v>45229</v>
      </c>
      <c r="H6" s="28">
        <v>45236</v>
      </c>
      <c r="I6" s="28">
        <v>45243</v>
      </c>
      <c r="J6" s="28">
        <v>45250</v>
      </c>
      <c r="K6" s="28">
        <v>45257</v>
      </c>
      <c r="L6" s="28">
        <v>45264</v>
      </c>
      <c r="M6" s="28">
        <v>45271</v>
      </c>
      <c r="N6" s="28">
        <v>45278</v>
      </c>
      <c r="O6" s="28">
        <v>45285</v>
      </c>
      <c r="P6" s="28">
        <v>45292</v>
      </c>
      <c r="Q6" s="28">
        <v>45299</v>
      </c>
      <c r="R6" s="28">
        <v>45306</v>
      </c>
      <c r="S6" s="28">
        <v>45313</v>
      </c>
      <c r="T6" s="28">
        <v>45320</v>
      </c>
      <c r="U6" s="28">
        <v>45327</v>
      </c>
      <c r="V6" s="28">
        <v>45334</v>
      </c>
      <c r="W6" s="28">
        <v>45341</v>
      </c>
      <c r="X6" s="29">
        <v>45348</v>
      </c>
    </row>
    <row r="7" spans="1:24" ht="15.5" thickTop="1" thickBot="1" x14ac:dyDescent="0.4">
      <c r="A7" s="30" t="s">
        <v>55</v>
      </c>
      <c r="B7" s="31" t="s">
        <v>56</v>
      </c>
      <c r="C7" s="32" t="s">
        <v>57</v>
      </c>
      <c r="D7" s="32" t="s">
        <v>58</v>
      </c>
      <c r="E7" s="32" t="s">
        <v>59</v>
      </c>
      <c r="F7" s="32" t="s">
        <v>60</v>
      </c>
      <c r="G7" s="32" t="s">
        <v>61</v>
      </c>
      <c r="H7" s="32" t="s">
        <v>62</v>
      </c>
      <c r="I7" s="32" t="s">
        <v>63</v>
      </c>
      <c r="J7" s="32" t="s">
        <v>64</v>
      </c>
      <c r="K7" s="32" t="s">
        <v>65</v>
      </c>
      <c r="L7" s="32" t="s">
        <v>66</v>
      </c>
      <c r="M7" s="32" t="s">
        <v>67</v>
      </c>
      <c r="N7" s="32" t="s">
        <v>68</v>
      </c>
      <c r="O7" s="32" t="s">
        <v>69</v>
      </c>
      <c r="P7" s="32" t="s">
        <v>69</v>
      </c>
      <c r="Q7" s="32" t="s">
        <v>61</v>
      </c>
      <c r="R7" s="32" t="s">
        <v>70</v>
      </c>
      <c r="S7" s="32" t="s">
        <v>70</v>
      </c>
      <c r="T7" s="32" t="s">
        <v>71</v>
      </c>
      <c r="U7" s="32" t="s">
        <v>56</v>
      </c>
      <c r="V7" s="32" t="s">
        <v>57</v>
      </c>
      <c r="W7" s="32" t="s">
        <v>58</v>
      </c>
      <c r="X7" s="33" t="s">
        <v>59</v>
      </c>
    </row>
    <row r="8" spans="1:24" ht="15" thickTop="1" x14ac:dyDescent="0.35">
      <c r="A8" s="34" t="s">
        <v>38</v>
      </c>
      <c r="B8" s="35">
        <v>2</v>
      </c>
      <c r="C8" s="36">
        <v>2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8"/>
    </row>
    <row r="9" spans="1:24" x14ac:dyDescent="0.35">
      <c r="A9" s="34" t="s">
        <v>72</v>
      </c>
      <c r="B9" s="35"/>
      <c r="C9" s="36"/>
      <c r="D9" s="37"/>
      <c r="E9" s="37"/>
      <c r="F9" s="37"/>
      <c r="G9" s="37"/>
      <c r="H9" s="37"/>
      <c r="I9" s="37"/>
      <c r="J9" s="37"/>
      <c r="K9" s="37"/>
      <c r="L9" s="36">
        <v>8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8"/>
    </row>
    <row r="10" spans="1:24" x14ac:dyDescent="0.35">
      <c r="A10" s="39" t="s">
        <v>39</v>
      </c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</row>
    <row r="11" spans="1:24" x14ac:dyDescent="0.35">
      <c r="A11" s="39" t="s">
        <v>40</v>
      </c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2"/>
    </row>
    <row r="12" spans="1:24" x14ac:dyDescent="0.35">
      <c r="A12" s="39" t="s">
        <v>41</v>
      </c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2"/>
    </row>
    <row r="13" spans="1:24" x14ac:dyDescent="0.35">
      <c r="A13" s="39" t="s">
        <v>73</v>
      </c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v>2</v>
      </c>
      <c r="W13" s="45">
        <v>2</v>
      </c>
      <c r="X13" s="46"/>
    </row>
    <row r="14" spans="1:24" x14ac:dyDescent="0.35">
      <c r="A14" s="39" t="s">
        <v>74</v>
      </c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5">
        <v>6</v>
      </c>
      <c r="X14" s="46"/>
    </row>
    <row r="15" spans="1:24" ht="15" thickBot="1" x14ac:dyDescent="0.4">
      <c r="A15" s="47" t="s">
        <v>75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50">
        <v>5</v>
      </c>
    </row>
    <row r="16" spans="1:24" ht="15" thickTop="1" x14ac:dyDescent="0.35"/>
    <row r="17" spans="1:14" ht="15" thickBot="1" x14ac:dyDescent="0.4">
      <c r="A17" s="55" t="s">
        <v>76</v>
      </c>
    </row>
    <row r="18" spans="1:14" ht="15" thickTop="1" x14ac:dyDescent="0.35">
      <c r="A18" s="54" t="s">
        <v>77</v>
      </c>
      <c r="B18">
        <v>6</v>
      </c>
      <c r="D18">
        <v>2</v>
      </c>
      <c r="F18">
        <v>2</v>
      </c>
    </row>
    <row r="19" spans="1:14" x14ac:dyDescent="0.35">
      <c r="A19" s="53" t="s">
        <v>78</v>
      </c>
    </row>
    <row r="20" spans="1:14" x14ac:dyDescent="0.35">
      <c r="A20" s="53" t="s">
        <v>79</v>
      </c>
    </row>
    <row r="21" spans="1:14" x14ac:dyDescent="0.35">
      <c r="A21" s="53" t="s">
        <v>80</v>
      </c>
    </row>
    <row r="22" spans="1:14" x14ac:dyDescent="0.35">
      <c r="A22" s="53" t="s">
        <v>88</v>
      </c>
      <c r="E22">
        <v>5</v>
      </c>
      <c r="F22">
        <v>5</v>
      </c>
      <c r="G22">
        <v>5</v>
      </c>
      <c r="H22">
        <v>5</v>
      </c>
      <c r="I22">
        <v>10</v>
      </c>
    </row>
    <row r="23" spans="1:14" x14ac:dyDescent="0.35">
      <c r="A23" s="53" t="s">
        <v>81</v>
      </c>
      <c r="J23">
        <v>5</v>
      </c>
    </row>
    <row r="24" spans="1:14" x14ac:dyDescent="0.35">
      <c r="A24" s="53" t="s">
        <v>82</v>
      </c>
    </row>
    <row r="25" spans="1:14" x14ac:dyDescent="0.35">
      <c r="A25" s="53" t="s">
        <v>83</v>
      </c>
      <c r="I25">
        <v>5</v>
      </c>
    </row>
    <row r="26" spans="1:14" x14ac:dyDescent="0.35">
      <c r="A26" s="53" t="s">
        <v>84</v>
      </c>
    </row>
    <row r="27" spans="1:14" x14ac:dyDescent="0.35">
      <c r="A27" s="56" t="s">
        <v>85</v>
      </c>
    </row>
    <row r="28" spans="1:14" x14ac:dyDescent="0.35">
      <c r="A28" s="56" t="s">
        <v>86</v>
      </c>
    </row>
    <row r="29" spans="1:14" x14ac:dyDescent="0.35">
      <c r="A29" s="56" t="s">
        <v>89</v>
      </c>
      <c r="J29">
        <v>2</v>
      </c>
      <c r="K29">
        <v>4</v>
      </c>
      <c r="L29">
        <v>6</v>
      </c>
      <c r="M29">
        <v>8</v>
      </c>
      <c r="N29">
        <v>15</v>
      </c>
    </row>
    <row r="30" spans="1:14" x14ac:dyDescent="0.35">
      <c r="A30" s="56" t="s">
        <v>90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0624ECCFC0034D908611E64ADEDEB5" ma:contentTypeVersion="11" ma:contentTypeDescription="Create a new document." ma:contentTypeScope="" ma:versionID="feebd41369043fccee1b7267a8d739f0">
  <xsd:schema xmlns:xsd="http://www.w3.org/2001/XMLSchema" xmlns:xs="http://www.w3.org/2001/XMLSchema" xmlns:p="http://schemas.microsoft.com/office/2006/metadata/properties" xmlns:ns2="f8acccbb-994e-4586-94ff-99a558525876" xmlns:ns3="f0db1bf9-6d06-463a-b338-536ba3b246c1" targetNamespace="http://schemas.microsoft.com/office/2006/metadata/properties" ma:root="true" ma:fieldsID="9f8b49787a65b3abfaaefa70af9c7697" ns2:_="" ns3:_="">
    <xsd:import namespace="f8acccbb-994e-4586-94ff-99a558525876"/>
    <xsd:import namespace="f0db1bf9-6d06-463a-b338-536ba3b246c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cccbb-994e-4586-94ff-99a5585258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b1bf9-6d06-463a-b338-536ba3b246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acccbb-994e-4586-94ff-99a558525876">
      <UserInfo>
        <DisplayName>Charles Markham</DisplayName>
        <AccountId>12</AccountId>
        <AccountType/>
      </UserInfo>
      <UserInfo>
        <DisplayName>Khalila Ismail</DisplayName>
        <AccountId>11</AccountId>
        <AccountType/>
      </UserInfo>
      <UserInfo>
        <DisplayName>Vanush Misha Paturyan</DisplayName>
        <AccountId>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7577DE5-0AA8-4222-B9DA-938F9624C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acccbb-994e-4586-94ff-99a558525876"/>
    <ds:schemaRef ds:uri="f0db1bf9-6d06-463a-b338-536ba3b24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69ED6-A9A3-4316-8573-1C7F1D53CE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487175-1688-4978-B3EA-A903688DC1B6}">
  <ds:schemaRefs>
    <ds:schemaRef ds:uri="http://schemas.microsoft.com/office/2006/metadata/properties"/>
    <ds:schemaRef ds:uri="http://schemas.microsoft.com/office/infopath/2007/PartnerControls"/>
    <ds:schemaRef ds:uri="f8acccbb-994e-4586-94ff-99a5585258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Option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Bratislav Milojevic | ELMED d.o.o.</dc:creator>
  <cp:keywords/>
  <dc:description/>
  <cp:lastModifiedBy>Rory O'Donoghue</cp:lastModifiedBy>
  <cp:revision/>
  <dcterms:created xsi:type="dcterms:W3CDTF">2020-05-06T17:17:41Z</dcterms:created>
  <dcterms:modified xsi:type="dcterms:W3CDTF">2025-10-13T08:36:56Z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0x0101003E0624ECCFC0034D908611E64ADEDEB5</vt:lpwstr>
  </property>
</Properties>
</file>